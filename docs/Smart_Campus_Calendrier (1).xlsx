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4BF65B65-49DC-4F78-955C-144347DD77E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emaine 1" sheetId="1" r:id="rId1"/>
    <sheet name="Semaine 2" sheetId="2" r:id="rId2"/>
    <sheet name="Semaine 3" sheetId="3" r:id="rId3"/>
    <sheet name="Semaine 4" sheetId="4" r:id="rId4"/>
    <sheet name="Semaine 5" sheetId="5" r:id="rId5"/>
    <sheet name="Semaine 6" sheetId="6" r:id="rId6"/>
    <sheet name="Semaine 7" sheetId="7" r:id="rId7"/>
    <sheet name="Semaine 8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8" l="1"/>
  <c r="C15" i="8"/>
  <c r="C14" i="8"/>
  <c r="C16" i="7"/>
  <c r="C15" i="7"/>
  <c r="C14" i="7"/>
  <c r="C16" i="6"/>
  <c r="C15" i="6"/>
  <c r="C14" i="6"/>
  <c r="C16" i="5"/>
  <c r="C15" i="5"/>
  <c r="C14" i="5"/>
  <c r="C16" i="4"/>
  <c r="C15" i="4"/>
  <c r="C14" i="4"/>
  <c r="C16" i="3"/>
  <c r="C15" i="3"/>
  <c r="C14" i="3"/>
  <c r="C16" i="2"/>
  <c r="C15" i="2"/>
  <c r="C14" i="2"/>
  <c r="C16" i="1"/>
  <c r="C15" i="1"/>
  <c r="C14" i="1"/>
</calcChain>
</file>

<file path=xl/sharedStrings.xml><?xml version="1.0" encoding="utf-8"?>
<sst xmlns="http://schemas.openxmlformats.org/spreadsheetml/2006/main" count="289" uniqueCount="87">
  <si>
    <t>Smart Campus – Semaine 1</t>
  </si>
  <si>
    <t>28 sept. – 2 oct. 2026</t>
  </si>
  <si>
    <t>Soutenance 1 : vendredi 9 octobre (socle)</t>
  </si>
  <si>
    <t>Type</t>
  </si>
  <si>
    <t>Module</t>
  </si>
  <si>
    <t>Fonctionnalité</t>
  </si>
  <si>
    <t>Responsable</t>
  </si>
  <si>
    <t>Statut</t>
  </si>
  <si>
    <t>Majeure</t>
  </si>
  <si>
    <t>Socle</t>
  </si>
  <si>
    <t>Authentification sécurisée et rôles (admin, opérateur, personnel)</t>
  </si>
  <si>
    <t>Terminé</t>
  </si>
  <si>
    <t>Référentiel campus : création et édition des bâtiments, salles et membres du personnel</t>
  </si>
  <si>
    <t>Mineure</t>
  </si>
  <si>
    <t>Réinitialisation du mot de passe par e-mail</t>
  </si>
  <si>
    <t>Expiration de session et déconnexion automatique</t>
  </si>
  <si>
    <t>Recherche et filtre des salles par bâtiment ou étage</t>
  </si>
  <si>
    <t>Import CSV des salles et du personnel</t>
  </si>
  <si>
    <t>Majeures</t>
  </si>
  <si>
    <t>Mineures</t>
  </si>
  <si>
    <t>Terminées</t>
  </si>
  <si>
    <t>Colonnes Responsable et Statut à remplir par l'équipe (Statut : liste déroulante).</t>
  </si>
  <si>
    <t>Smart Campus – Semaine 2</t>
  </si>
  <si>
    <t>5 – 9 oct. 2026</t>
  </si>
  <si>
    <t>Gestion de la flotte : enrôlement d'un appareil et supervision</t>
  </si>
  <si>
    <t>À faire</t>
  </si>
  <si>
    <t>Door</t>
  </si>
  <si>
    <t>Affichage de porte : un écran lié à une salle affiche son nom et ses infos</t>
  </si>
  <si>
    <t>Renommer et localiser un appareil (bâtiment, étage, salle)</t>
  </si>
  <si>
    <t>Indicateur en ligne / hors ligne avec l'heure du dernier contact</t>
  </si>
  <si>
    <t>Aperçu en direct de l'écran depuis la plateforme</t>
  </si>
  <si>
    <t>Mode hors-ligne de l'écran, qui garde en cache le dernier état</t>
  </si>
  <si>
    <t>Smart Campus – Semaine 3</t>
  </si>
  <si>
    <t>12 – 16 oct. 2026</t>
  </si>
  <si>
    <t>Soutenance 2 : vendredi 23 octobre (Door Information)</t>
  </si>
  <si>
    <t>Changement du statut de salle en direct (libre, occupée, fermée, travaux), répercuté sur l'écran</t>
  </si>
  <si>
    <t>Annonces visuelles ciblées sur un ou plusieurs écrans</t>
  </si>
  <si>
    <t>Statuts personnalisés (libellé, couleur, icône)</t>
  </si>
  <si>
    <t>Historique des changements de statut</t>
  </si>
  <si>
    <t>Date d'expiration automatique d'une annonce</t>
  </si>
  <si>
    <t>Niveaux de priorité (info, important, urgent) avec un style dédié</t>
  </si>
  <si>
    <t>Smart Campus – Semaine 4</t>
  </si>
  <si>
    <t>19 – 23 oct. 2026</t>
  </si>
  <si>
    <t>InterCom</t>
  </si>
  <si>
    <t>Annonce audio manuelle : enregistrer ou importer un son, puis le diffuser sur les appareils choisis</t>
  </si>
  <si>
    <t>Éditeur de configuration des affichages (mise en page, thème, éléments affichés)</t>
  </si>
  <si>
    <t>Ciblage par groupe d'appareils (bâtiment, étage)</t>
  </si>
  <si>
    <t>Volume par appareil et plages horaires silencieuses</t>
  </si>
  <si>
    <t>Dupliquer une configuration vers plusieurs écrans</t>
  </si>
  <si>
    <t>Mise en veille automatique la nuit</t>
  </si>
  <si>
    <t>Smart Campus – Semaine 5</t>
  </si>
  <si>
    <t>26 – 30 oct. 2026</t>
  </si>
  <si>
    <t>Soutenance 3 : vendredi 6 novembre (InterCom IA et Faculty Information)</t>
  </si>
  <si>
    <t>Annonce vocale générée par IA : un texte est converti en voix et diffusé</t>
  </si>
  <si>
    <t>Annonces planifiées et automatisées (date, heure, déclenchement sur changement de statut)</t>
  </si>
  <si>
    <t>Choix de la voix et de la langue</t>
  </si>
  <si>
    <t>Pré-écoute avant diffusion</t>
  </si>
  <si>
    <t>Récurrence des annonces (quotidienne, hebdomadaire)</t>
  </si>
  <si>
    <t>Bibliothèque de modèles d'annonces réutilisables</t>
  </si>
  <si>
    <t>Smart Campus – Semaine 6</t>
  </si>
  <si>
    <t>2 – 6 nov. 2026</t>
  </si>
  <si>
    <t>Faculty</t>
  </si>
  <si>
    <t>Écrans d'information campus : fil d'actualités et informations importantes</t>
  </si>
  <si>
    <t>Disponibilités du personnel pédagogique et administratif, affichées en direct</t>
  </si>
  <si>
    <t>Rotation automatique des contenus en carrousel</t>
  </si>
  <si>
    <t>Widgets horloge, date et météo</t>
  </si>
  <si>
    <t>Le personnel met à jour lui-même sa disponibilité</t>
  </si>
  <si>
    <t>Filtre par service (pédagogique ou administratif)</t>
  </si>
  <si>
    <t>Smart Campus – Semaine 7</t>
  </si>
  <si>
    <t>9 – 13 nov. 2026</t>
  </si>
  <si>
    <t>Soutenance 4 : vendredi 20 novembre (réservations, urgence, pilotage)</t>
  </si>
  <si>
    <t>Attention : mercredi 11 novembre férié.</t>
  </si>
  <si>
    <t>Faculty + Door</t>
  </si>
  <si>
    <t>Réservation de salles, affichée sur les écrans Faculty et sur la porte</t>
  </si>
  <si>
    <t>Diffusion d'urgence multicanal : visuel et audio sur tout le campus en un clic (ex. fermeture de l'école)</t>
  </si>
  <si>
    <t>Affichage de la prochaine réservation sur l'écran de porte</t>
  </si>
  <si>
    <t>Détection des conflits de réservation</t>
  </si>
  <si>
    <t>Confirmation en deux étapes avant une diffusion d'urgence</t>
  </si>
  <si>
    <t>Levée d'alerte avec un message de fin d'urgence</t>
  </si>
  <si>
    <t>Smart Campus – Semaine 8</t>
  </si>
  <si>
    <t>16 – 20 nov. 2026</t>
  </si>
  <si>
    <t>Tableau de bord administrateur : vue d'ensemble du campus, des appareils et des annonces actives</t>
  </si>
  <si>
    <t>Communication interne : messages et notifications au personnel</t>
  </si>
  <si>
    <t>Journal d'audit (qui a fait quoi, et quand)</t>
  </si>
  <si>
    <t>Alertes sur les appareils déconnectés</t>
  </si>
  <si>
    <t>Accusé de lecture des messages</t>
  </si>
  <si>
    <t>Export des statistiques en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</si>
</sst>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name val="Arial"/>
      <charset val="1"/>
    </font>
    <font>
      <b/>
      <sz val="11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color rgb="FF808080"/>
      <name val="Arial"/>
      <charset val="1"/>
    </font>
    <font>
      <i/>
      <sz val="11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pane ySplit="6" topLeftCell="A7" activePane="bottomLeft" state="frozen"/>
      <selection pane="bottomLeft" activeCell="E12" sqref="E12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0</v>
      </c>
    </row>
    <row r="2" spans="1:5">
      <c r="A2" s="2" t="s">
        <v>1</v>
      </c>
    </row>
    <row r="3" spans="1:5">
      <c r="A3" s="3" t="s">
        <v>2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5" t="s">
        <v>8</v>
      </c>
      <c r="B7" s="6" t="s">
        <v>9</v>
      </c>
      <c r="C7" s="6" t="s">
        <v>10</v>
      </c>
      <c r="D7" s="6"/>
      <c r="E7" s="6" t="s">
        <v>11</v>
      </c>
    </row>
    <row r="8" spans="1:5" ht="28.5">
      <c r="A8" s="5" t="s">
        <v>8</v>
      </c>
      <c r="B8" s="6" t="s">
        <v>9</v>
      </c>
      <c r="C8" s="6" t="s">
        <v>12</v>
      </c>
      <c r="D8" s="6"/>
      <c r="E8" s="6" t="s">
        <v>11</v>
      </c>
    </row>
    <row r="9" spans="1:5">
      <c r="A9" s="7" t="s">
        <v>13</v>
      </c>
      <c r="B9" s="7" t="s">
        <v>9</v>
      </c>
      <c r="C9" s="7" t="s">
        <v>14</v>
      </c>
      <c r="D9" s="7"/>
      <c r="E9" s="7" t="s">
        <v>11</v>
      </c>
    </row>
    <row r="10" spans="1:5">
      <c r="A10" s="7" t="s">
        <v>13</v>
      </c>
      <c r="B10" s="7" t="s">
        <v>9</v>
      </c>
      <c r="C10" s="7" t="s">
        <v>15</v>
      </c>
      <c r="D10" s="7"/>
      <c r="E10" s="7" t="s">
        <v>11</v>
      </c>
    </row>
    <row r="11" spans="1:5">
      <c r="A11" s="7" t="s">
        <v>13</v>
      </c>
      <c r="B11" s="7" t="s">
        <v>9</v>
      </c>
      <c r="C11" s="7" t="s">
        <v>16</v>
      </c>
      <c r="D11" s="7"/>
      <c r="E11" s="7" t="s">
        <v>11</v>
      </c>
    </row>
    <row r="12" spans="1:5">
      <c r="A12" s="7" t="s">
        <v>13</v>
      </c>
      <c r="B12" s="7" t="s">
        <v>9</v>
      </c>
      <c r="C12" s="7" t="s">
        <v>17</v>
      </c>
      <c r="D12" s="7"/>
      <c r="E12" s="7" t="s">
        <v>11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6 / 6</v>
      </c>
    </row>
    <row r="18" spans="1:1">
      <c r="A18" s="10" t="s">
        <v>21</v>
      </c>
    </row>
  </sheetData>
  <dataValidations count="1">
    <dataValidation type="list" allowBlank="1" sqref="E7:E12" xr:uid="{00000000-0002-0000-00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22</v>
      </c>
    </row>
    <row r="2" spans="1:5">
      <c r="A2" s="2" t="s">
        <v>23</v>
      </c>
    </row>
    <row r="3" spans="1:5">
      <c r="A3" s="3" t="s">
        <v>2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5" t="s">
        <v>8</v>
      </c>
      <c r="B7" s="6" t="s">
        <v>9</v>
      </c>
      <c r="C7" s="6" t="s">
        <v>24</v>
      </c>
      <c r="D7" s="6"/>
      <c r="E7" s="6" t="s">
        <v>25</v>
      </c>
    </row>
    <row r="8" spans="1:5">
      <c r="A8" s="5" t="s">
        <v>8</v>
      </c>
      <c r="B8" s="6" t="s">
        <v>26</v>
      </c>
      <c r="C8" s="6" t="s">
        <v>27</v>
      </c>
      <c r="D8" s="6"/>
      <c r="E8" s="6" t="s">
        <v>25</v>
      </c>
    </row>
    <row r="9" spans="1:5">
      <c r="A9" s="7" t="s">
        <v>13</v>
      </c>
      <c r="B9" s="7" t="s">
        <v>9</v>
      </c>
      <c r="C9" s="7" t="s">
        <v>28</v>
      </c>
      <c r="D9" s="7"/>
      <c r="E9" s="7" t="s">
        <v>25</v>
      </c>
    </row>
    <row r="10" spans="1:5">
      <c r="A10" s="7" t="s">
        <v>13</v>
      </c>
      <c r="B10" s="7" t="s">
        <v>9</v>
      </c>
      <c r="C10" s="7" t="s">
        <v>29</v>
      </c>
      <c r="D10" s="7"/>
      <c r="E10" s="7" t="s">
        <v>25</v>
      </c>
    </row>
    <row r="11" spans="1:5">
      <c r="A11" s="7" t="s">
        <v>13</v>
      </c>
      <c r="B11" s="7" t="s">
        <v>26</v>
      </c>
      <c r="C11" s="7" t="s">
        <v>30</v>
      </c>
      <c r="D11" s="7"/>
      <c r="E11" s="7" t="s">
        <v>25</v>
      </c>
    </row>
    <row r="12" spans="1:5">
      <c r="A12" s="7" t="s">
        <v>13</v>
      </c>
      <c r="B12" s="7" t="s">
        <v>26</v>
      </c>
      <c r="C12" s="7" t="s">
        <v>31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1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32</v>
      </c>
    </row>
    <row r="2" spans="1:5">
      <c r="A2" s="2" t="s">
        <v>33</v>
      </c>
    </row>
    <row r="3" spans="1:5">
      <c r="A3" s="3" t="s">
        <v>34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ht="26.85">
      <c r="A7" s="5" t="s">
        <v>8</v>
      </c>
      <c r="B7" s="6" t="s">
        <v>26</v>
      </c>
      <c r="C7" s="6" t="s">
        <v>35</v>
      </c>
      <c r="D7" s="6"/>
      <c r="E7" s="6" t="s">
        <v>25</v>
      </c>
    </row>
    <row r="8" spans="1:5">
      <c r="A8" s="5" t="s">
        <v>8</v>
      </c>
      <c r="B8" s="6" t="s">
        <v>26</v>
      </c>
      <c r="C8" s="6" t="s">
        <v>36</v>
      </c>
      <c r="D8" s="6"/>
      <c r="E8" s="6" t="s">
        <v>25</v>
      </c>
    </row>
    <row r="9" spans="1:5">
      <c r="A9" s="7" t="s">
        <v>13</v>
      </c>
      <c r="B9" s="7" t="s">
        <v>26</v>
      </c>
      <c r="C9" s="7" t="s">
        <v>37</v>
      </c>
      <c r="D9" s="7"/>
      <c r="E9" s="7" t="s">
        <v>25</v>
      </c>
    </row>
    <row r="10" spans="1:5">
      <c r="A10" s="7" t="s">
        <v>13</v>
      </c>
      <c r="B10" s="7" t="s">
        <v>26</v>
      </c>
      <c r="C10" s="7" t="s">
        <v>38</v>
      </c>
      <c r="D10" s="7"/>
      <c r="E10" s="7" t="s">
        <v>25</v>
      </c>
    </row>
    <row r="11" spans="1:5">
      <c r="A11" s="7" t="s">
        <v>13</v>
      </c>
      <c r="B11" s="7" t="s">
        <v>26</v>
      </c>
      <c r="C11" s="7" t="s">
        <v>39</v>
      </c>
      <c r="D11" s="7"/>
      <c r="E11" s="7" t="s">
        <v>25</v>
      </c>
    </row>
    <row r="12" spans="1:5">
      <c r="A12" s="7" t="s">
        <v>13</v>
      </c>
      <c r="B12" s="7" t="s">
        <v>26</v>
      </c>
      <c r="C12" s="7" t="s">
        <v>40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2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41</v>
      </c>
    </row>
    <row r="2" spans="1:5">
      <c r="A2" s="2" t="s">
        <v>42</v>
      </c>
    </row>
    <row r="3" spans="1:5">
      <c r="A3" s="3" t="s">
        <v>34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ht="26.85">
      <c r="A7" s="5" t="s">
        <v>8</v>
      </c>
      <c r="B7" s="6" t="s">
        <v>43</v>
      </c>
      <c r="C7" s="6" t="s">
        <v>44</v>
      </c>
      <c r="D7" s="6"/>
      <c r="E7" s="6" t="s">
        <v>25</v>
      </c>
    </row>
    <row r="8" spans="1:5" ht="26.85">
      <c r="A8" s="5" t="s">
        <v>8</v>
      </c>
      <c r="B8" s="6" t="s">
        <v>26</v>
      </c>
      <c r="C8" s="6" t="s">
        <v>45</v>
      </c>
      <c r="D8" s="6"/>
      <c r="E8" s="6" t="s">
        <v>25</v>
      </c>
    </row>
    <row r="9" spans="1:5">
      <c r="A9" s="7" t="s">
        <v>13</v>
      </c>
      <c r="B9" s="7" t="s">
        <v>43</v>
      </c>
      <c r="C9" s="7" t="s">
        <v>46</v>
      </c>
      <c r="D9" s="7"/>
      <c r="E9" s="7" t="s">
        <v>25</v>
      </c>
    </row>
    <row r="10" spans="1:5">
      <c r="A10" s="7" t="s">
        <v>13</v>
      </c>
      <c r="B10" s="7" t="s">
        <v>43</v>
      </c>
      <c r="C10" s="7" t="s">
        <v>47</v>
      </c>
      <c r="D10" s="7"/>
      <c r="E10" s="7" t="s">
        <v>25</v>
      </c>
    </row>
    <row r="11" spans="1:5">
      <c r="A11" s="7" t="s">
        <v>13</v>
      </c>
      <c r="B11" s="7" t="s">
        <v>26</v>
      </c>
      <c r="C11" s="7" t="s">
        <v>48</v>
      </c>
      <c r="D11" s="7"/>
      <c r="E11" s="7" t="s">
        <v>25</v>
      </c>
    </row>
    <row r="12" spans="1:5">
      <c r="A12" s="7" t="s">
        <v>13</v>
      </c>
      <c r="B12" s="7" t="s">
        <v>26</v>
      </c>
      <c r="C12" s="7" t="s">
        <v>49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3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50</v>
      </c>
    </row>
    <row r="2" spans="1:5">
      <c r="A2" s="2" t="s">
        <v>51</v>
      </c>
    </row>
    <row r="3" spans="1:5">
      <c r="A3" s="3" t="s">
        <v>52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5" t="s">
        <v>8</v>
      </c>
      <c r="B7" s="6" t="s">
        <v>43</v>
      </c>
      <c r="C7" s="6" t="s">
        <v>53</v>
      </c>
      <c r="D7" s="6"/>
      <c r="E7" s="6" t="s">
        <v>25</v>
      </c>
    </row>
    <row r="8" spans="1:5" ht="26.85">
      <c r="A8" s="5" t="s">
        <v>8</v>
      </c>
      <c r="B8" s="6" t="s">
        <v>9</v>
      </c>
      <c r="C8" s="6" t="s">
        <v>54</v>
      </c>
      <c r="D8" s="6"/>
      <c r="E8" s="6" t="s">
        <v>25</v>
      </c>
    </row>
    <row r="9" spans="1:5">
      <c r="A9" s="7" t="s">
        <v>13</v>
      </c>
      <c r="B9" s="7" t="s">
        <v>43</v>
      </c>
      <c r="C9" s="7" t="s">
        <v>55</v>
      </c>
      <c r="D9" s="7"/>
      <c r="E9" s="7" t="s">
        <v>25</v>
      </c>
    </row>
    <row r="10" spans="1:5">
      <c r="A10" s="7" t="s">
        <v>13</v>
      </c>
      <c r="B10" s="7" t="s">
        <v>43</v>
      </c>
      <c r="C10" s="7" t="s">
        <v>56</v>
      </c>
      <c r="D10" s="7"/>
      <c r="E10" s="7" t="s">
        <v>25</v>
      </c>
    </row>
    <row r="11" spans="1:5">
      <c r="A11" s="7" t="s">
        <v>13</v>
      </c>
      <c r="B11" s="7" t="s">
        <v>9</v>
      </c>
      <c r="C11" s="7" t="s">
        <v>57</v>
      </c>
      <c r="D11" s="7"/>
      <c r="E11" s="7" t="s">
        <v>25</v>
      </c>
    </row>
    <row r="12" spans="1:5">
      <c r="A12" s="7" t="s">
        <v>13</v>
      </c>
      <c r="B12" s="7" t="s">
        <v>9</v>
      </c>
      <c r="C12" s="7" t="s">
        <v>58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4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59</v>
      </c>
    </row>
    <row r="2" spans="1:5">
      <c r="A2" s="2" t="s">
        <v>60</v>
      </c>
    </row>
    <row r="3" spans="1:5">
      <c r="A3" s="3" t="s">
        <v>52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5" t="s">
        <v>8</v>
      </c>
      <c r="B7" s="6" t="s">
        <v>61</v>
      </c>
      <c r="C7" s="6" t="s">
        <v>62</v>
      </c>
      <c r="D7" s="6"/>
      <c r="E7" s="6" t="s">
        <v>25</v>
      </c>
    </row>
    <row r="8" spans="1:5" ht="26.85">
      <c r="A8" s="5" t="s">
        <v>8</v>
      </c>
      <c r="B8" s="6" t="s">
        <v>61</v>
      </c>
      <c r="C8" s="6" t="s">
        <v>63</v>
      </c>
      <c r="D8" s="6"/>
      <c r="E8" s="6" t="s">
        <v>25</v>
      </c>
    </row>
    <row r="9" spans="1:5">
      <c r="A9" s="7" t="s">
        <v>13</v>
      </c>
      <c r="B9" s="7" t="s">
        <v>61</v>
      </c>
      <c r="C9" s="7" t="s">
        <v>64</v>
      </c>
      <c r="D9" s="7"/>
      <c r="E9" s="7" t="s">
        <v>25</v>
      </c>
    </row>
    <row r="10" spans="1:5">
      <c r="A10" s="7" t="s">
        <v>13</v>
      </c>
      <c r="B10" s="7" t="s">
        <v>61</v>
      </c>
      <c r="C10" s="7" t="s">
        <v>65</v>
      </c>
      <c r="D10" s="7"/>
      <c r="E10" s="7" t="s">
        <v>25</v>
      </c>
    </row>
    <row r="11" spans="1:5">
      <c r="A11" s="7" t="s">
        <v>13</v>
      </c>
      <c r="B11" s="7" t="s">
        <v>61</v>
      </c>
      <c r="C11" s="7" t="s">
        <v>66</v>
      </c>
      <c r="D11" s="7"/>
      <c r="E11" s="7" t="s">
        <v>25</v>
      </c>
    </row>
    <row r="12" spans="1:5">
      <c r="A12" s="7" t="s">
        <v>13</v>
      </c>
      <c r="B12" s="7" t="s">
        <v>61</v>
      </c>
      <c r="C12" s="7" t="s">
        <v>67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5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68</v>
      </c>
    </row>
    <row r="2" spans="1:5">
      <c r="A2" s="2" t="s">
        <v>69</v>
      </c>
    </row>
    <row r="3" spans="1:5">
      <c r="A3" s="3" t="s">
        <v>70</v>
      </c>
    </row>
    <row r="4" spans="1:5">
      <c r="A4" s="11" t="s">
        <v>71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5" t="s">
        <v>8</v>
      </c>
      <c r="B7" s="6" t="s">
        <v>72</v>
      </c>
      <c r="C7" s="6" t="s">
        <v>73</v>
      </c>
      <c r="D7" s="6"/>
      <c r="E7" s="6" t="s">
        <v>25</v>
      </c>
    </row>
    <row r="8" spans="1:5" ht="26.85">
      <c r="A8" s="5" t="s">
        <v>8</v>
      </c>
      <c r="B8" s="6" t="s">
        <v>9</v>
      </c>
      <c r="C8" s="6" t="s">
        <v>74</v>
      </c>
      <c r="D8" s="6"/>
      <c r="E8" s="6" t="s">
        <v>25</v>
      </c>
    </row>
    <row r="9" spans="1:5">
      <c r="A9" s="7" t="s">
        <v>13</v>
      </c>
      <c r="B9" s="7" t="s">
        <v>26</v>
      </c>
      <c r="C9" s="7" t="s">
        <v>75</v>
      </c>
      <c r="D9" s="7"/>
      <c r="E9" s="7" t="s">
        <v>25</v>
      </c>
    </row>
    <row r="10" spans="1:5">
      <c r="A10" s="7" t="s">
        <v>13</v>
      </c>
      <c r="B10" s="7" t="s">
        <v>61</v>
      </c>
      <c r="C10" s="7" t="s">
        <v>76</v>
      </c>
      <c r="D10" s="7"/>
      <c r="E10" s="7" t="s">
        <v>25</v>
      </c>
    </row>
    <row r="11" spans="1:5">
      <c r="A11" s="7" t="s">
        <v>13</v>
      </c>
      <c r="B11" s="7" t="s">
        <v>9</v>
      </c>
      <c r="C11" s="7" t="s">
        <v>77</v>
      </c>
      <c r="D11" s="7"/>
      <c r="E11" s="7" t="s">
        <v>25</v>
      </c>
    </row>
    <row r="12" spans="1:5">
      <c r="A12" s="7" t="s">
        <v>13</v>
      </c>
      <c r="B12" s="7" t="s">
        <v>9</v>
      </c>
      <c r="C12" s="7" t="s">
        <v>78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6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3" width="70" customWidth="1"/>
    <col min="4" max="4" width="18" customWidth="1"/>
    <col min="5" max="5" width="12" customWidth="1"/>
  </cols>
  <sheetData>
    <row r="1" spans="1:5" ht="17.45">
      <c r="A1" s="1" t="s">
        <v>79</v>
      </c>
    </row>
    <row r="2" spans="1:5">
      <c r="A2" s="2" t="s">
        <v>80</v>
      </c>
    </row>
    <row r="3" spans="1:5">
      <c r="A3" s="3" t="s">
        <v>70</v>
      </c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ht="26.85">
      <c r="A7" s="5" t="s">
        <v>8</v>
      </c>
      <c r="B7" s="6" t="s">
        <v>9</v>
      </c>
      <c r="C7" s="6" t="s">
        <v>81</v>
      </c>
      <c r="D7" s="6"/>
      <c r="E7" s="6" t="s">
        <v>25</v>
      </c>
    </row>
    <row r="8" spans="1:5">
      <c r="A8" s="5" t="s">
        <v>8</v>
      </c>
      <c r="B8" s="6" t="s">
        <v>9</v>
      </c>
      <c r="C8" s="6" t="s">
        <v>82</v>
      </c>
      <c r="D8" s="6"/>
      <c r="E8" s="6" t="s">
        <v>25</v>
      </c>
    </row>
    <row r="9" spans="1:5">
      <c r="A9" s="7" t="s">
        <v>13</v>
      </c>
      <c r="B9" s="7" t="s">
        <v>9</v>
      </c>
      <c r="C9" s="7" t="s">
        <v>83</v>
      </c>
      <c r="D9" s="7"/>
      <c r="E9" s="7" t="s">
        <v>25</v>
      </c>
    </row>
    <row r="10" spans="1:5">
      <c r="A10" s="7" t="s">
        <v>13</v>
      </c>
      <c r="B10" s="7" t="s">
        <v>9</v>
      </c>
      <c r="C10" s="7" t="s">
        <v>84</v>
      </c>
      <c r="D10" s="7"/>
      <c r="E10" s="7" t="s">
        <v>25</v>
      </c>
    </row>
    <row r="11" spans="1:5">
      <c r="A11" s="7" t="s">
        <v>13</v>
      </c>
      <c r="B11" s="7" t="s">
        <v>9</v>
      </c>
      <c r="C11" s="7" t="s">
        <v>85</v>
      </c>
      <c r="D11" s="7"/>
      <c r="E11" s="7" t="s">
        <v>25</v>
      </c>
    </row>
    <row r="12" spans="1:5">
      <c r="A12" s="7" t="s">
        <v>13</v>
      </c>
      <c r="B12" s="7" t="s">
        <v>9</v>
      </c>
      <c r="C12" s="7" t="s">
        <v>86</v>
      </c>
      <c r="D12" s="7"/>
      <c r="E12" s="7" t="s">
        <v>25</v>
      </c>
    </row>
    <row r="14" spans="1:5">
      <c r="B14" s="8" t="s">
        <v>18</v>
      </c>
      <c r="C14" s="9">
        <f>COUNTIF(A7:A12,"Majeure")</f>
        <v>2</v>
      </c>
    </row>
    <row r="15" spans="1:5">
      <c r="B15" s="8" t="s">
        <v>19</v>
      </c>
      <c r="C15" s="9">
        <f>COUNTIF(A7:A12,"Mineure")</f>
        <v>4</v>
      </c>
    </row>
    <row r="16" spans="1:5">
      <c r="B16" s="8" t="s">
        <v>20</v>
      </c>
      <c r="C16" s="9" t="str">
        <f>COUNTIF(E7:E12,"Terminé")&amp;" / "&amp;COUNTA(C7:C12)</f>
        <v>0 / 6</v>
      </c>
    </row>
    <row r="18" spans="1:1">
      <c r="A18" s="10" t="s">
        <v>21</v>
      </c>
    </row>
  </sheetData>
  <dataValidations count="1">
    <dataValidation type="list" allowBlank="1" sqref="E7:E12" xr:uid="{00000000-0002-0000-07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2026-09-25T16:51:45Z</dcterms:created>
  <dcterms:modified xsi:type="dcterms:W3CDTF">2026-10-23T09:22:51Z</dcterms:modified>
  <cp:category/>
  <cp:contentStatus/>
</cp:coreProperties>
</file>